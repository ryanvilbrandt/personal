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5875" windowHeight="1207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7" i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12" i="1"/>
  <c r="G13" i="1"/>
  <c r="H13" i="1" s="1"/>
  <c r="G14" i="1"/>
  <c r="H14" i="1" s="1"/>
  <c r="G15" i="1"/>
  <c r="H15" i="1" s="1"/>
  <c r="G11" i="1"/>
  <c r="H11" i="1" s="1"/>
  <c r="G8" i="1"/>
  <c r="H8" i="1" s="1"/>
  <c r="G9" i="1"/>
  <c r="H9" i="1" s="1"/>
  <c r="G10" i="1"/>
  <c r="H10" i="1" s="1"/>
  <c r="G7" i="1"/>
  <c r="H7" i="1" s="1"/>
  <c r="K22" i="1" l="1"/>
  <c r="K18" i="1"/>
  <c r="K26" i="1"/>
  <c r="H12" i="1"/>
  <c r="K12" i="1" s="1"/>
  <c r="K10" i="1"/>
  <c r="K8" i="1"/>
  <c r="K24" i="1"/>
  <c r="K20" i="1"/>
  <c r="K16" i="1"/>
  <c r="K14" i="1"/>
  <c r="K23" i="1"/>
  <c r="K19" i="1"/>
  <c r="K15" i="1"/>
  <c r="K11" i="1"/>
  <c r="K25" i="1"/>
  <c r="K21" i="1"/>
  <c r="K17" i="1"/>
  <c r="K13" i="1"/>
  <c r="K9" i="1"/>
  <c r="K7" i="1"/>
</calcChain>
</file>

<file path=xl/sharedStrings.xml><?xml version="1.0" encoding="utf-8"?>
<sst xmlns="http://schemas.openxmlformats.org/spreadsheetml/2006/main" count="21" uniqueCount="20">
  <si>
    <t>1/2</t>
  </si>
  <si>
    <t>1/3</t>
  </si>
  <si>
    <t>1/4</t>
  </si>
  <si>
    <t>1/6</t>
  </si>
  <si>
    <t>1/8</t>
  </si>
  <si>
    <t>Lvl adjust</t>
  </si>
  <si>
    <t>Dex mod</t>
  </si>
  <si>
    <t>Misc</t>
  </si>
  <si>
    <t>CR</t>
  </si>
  <si>
    <t>Avg CMD</t>
  </si>
  <si>
    <t>Stddev</t>
  </si>
  <si>
    <t>Acro</t>
  </si>
  <si>
    <t>AC</t>
  </si>
  <si>
    <t>Overall %</t>
  </si>
  <si>
    <t>Acro %</t>
  </si>
  <si>
    <t>Avg hit</t>
  </si>
  <si>
    <t>Wis mod</t>
  </si>
  <si>
    <t>Miss %</t>
  </si>
  <si>
    <t>Misc AC</t>
  </si>
  <si>
    <t>+1 AC/lvl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</si>
</sst>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16" fontId="0" fillId="0" borderId="0" xfId="0" quotePrefix="1" applyNumberFormat="1"/>
    <xf numFmtId="0" fontId="1" fillId="2" borderId="0" xfId="1"/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Acrobatics bonus</c:v>
          </c:tx>
          <c:xVal>
            <c:numRef>
              <c:f>Sheet1!$A$7:$A$36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Sheet1!$G$7:$G$26</c:f>
              <c:numCache>
                <c:formatCode>General</c:formatCode>
                <c:ptCount val="20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21</c:v>
                </c:pt>
                <c:pt idx="6">
                  <c:v>22</c:v>
                </c:pt>
                <c:pt idx="7">
                  <c:v>24</c:v>
                </c:pt>
                <c:pt idx="8">
                  <c:v>25</c:v>
                </c:pt>
                <c:pt idx="9">
                  <c:v>30</c:v>
                </c:pt>
                <c:pt idx="10">
                  <c:v>31</c:v>
                </c:pt>
                <c:pt idx="11">
                  <c:v>33</c:v>
                </c:pt>
                <c:pt idx="12">
                  <c:v>34</c:v>
                </c:pt>
                <c:pt idx="13">
                  <c:v>36</c:v>
                </c:pt>
                <c:pt idx="14">
                  <c:v>37</c:v>
                </c:pt>
                <c:pt idx="15">
                  <c:v>39</c:v>
                </c:pt>
                <c:pt idx="16">
                  <c:v>40</c:v>
                </c:pt>
                <c:pt idx="17">
                  <c:v>42</c:v>
                </c:pt>
                <c:pt idx="18">
                  <c:v>43</c:v>
                </c:pt>
                <c:pt idx="19">
                  <c:v>45</c:v>
                </c:pt>
              </c:numCache>
            </c:numRef>
          </c:yVal>
          <c:smooth val="0"/>
        </c:ser>
        <c:ser>
          <c:idx val="1"/>
          <c:order val="1"/>
          <c:tx>
            <c:v>Avg CMD</c:v>
          </c:tx>
          <c:xVal>
            <c:numRef>
              <c:f>Sheet1!$A$7:$A$36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Sheet1!$B$7:$B$36</c:f>
              <c:numCache>
                <c:formatCode>General</c:formatCode>
                <c:ptCount val="30"/>
                <c:pt idx="0">
                  <c:v>12.3950617284</c:v>
                </c:pt>
                <c:pt idx="1">
                  <c:v>14.9713114754</c:v>
                </c:pt>
                <c:pt idx="2">
                  <c:v>17.541501976300001</c:v>
                </c:pt>
                <c:pt idx="3">
                  <c:v>19.0845070423</c:v>
                </c:pt>
                <c:pt idx="4">
                  <c:v>21.6926829268</c:v>
                </c:pt>
                <c:pt idx="5">
                  <c:v>23.423076923099998</c:v>
                </c:pt>
                <c:pt idx="6">
                  <c:v>26.192771084299999</c:v>
                </c:pt>
                <c:pt idx="7">
                  <c:v>27.810457516300001</c:v>
                </c:pt>
                <c:pt idx="8">
                  <c:v>30.268965517200002</c:v>
                </c:pt>
                <c:pt idx="9">
                  <c:v>31.909090909100001</c:v>
                </c:pt>
                <c:pt idx="10">
                  <c:v>34.6380952381</c:v>
                </c:pt>
                <c:pt idx="11">
                  <c:v>35.523255814000002</c:v>
                </c:pt>
                <c:pt idx="12">
                  <c:v>38.2428571429</c:v>
                </c:pt>
                <c:pt idx="13">
                  <c:v>39.316666666700002</c:v>
                </c:pt>
                <c:pt idx="14">
                  <c:v>42.630952381</c:v>
                </c:pt>
                <c:pt idx="15">
                  <c:v>45.076923076900002</c:v>
                </c:pt>
                <c:pt idx="16">
                  <c:v>45.630434782599998</c:v>
                </c:pt>
                <c:pt idx="17">
                  <c:v>48.6585365854</c:v>
                </c:pt>
                <c:pt idx="18">
                  <c:v>52.407407407400001</c:v>
                </c:pt>
                <c:pt idx="19">
                  <c:v>54.65</c:v>
                </c:pt>
                <c:pt idx="20">
                  <c:v>58.857142857100001</c:v>
                </c:pt>
                <c:pt idx="21">
                  <c:v>59.5</c:v>
                </c:pt>
                <c:pt idx="22">
                  <c:v>63.666666666700003</c:v>
                </c:pt>
                <c:pt idx="23">
                  <c:v>63.857142857100001</c:v>
                </c:pt>
                <c:pt idx="24">
                  <c:v>67.090909090899999</c:v>
                </c:pt>
                <c:pt idx="25">
                  <c:v>79.2</c:v>
                </c:pt>
                <c:pt idx="26">
                  <c:v>75.142857142899999</c:v>
                </c:pt>
                <c:pt idx="27">
                  <c:v>81.333333333300004</c:v>
                </c:pt>
                <c:pt idx="28">
                  <c:v>82</c:v>
                </c:pt>
                <c:pt idx="29">
                  <c:v>82.75</c:v>
                </c:pt>
              </c:numCache>
            </c:numRef>
          </c:yVal>
          <c:smooth val="0"/>
        </c:ser>
        <c:ser>
          <c:idx val="2"/>
          <c:order val="2"/>
          <c:tx>
            <c:v>AC bonus</c:v>
          </c:tx>
          <c:xVal>
            <c:numRef>
              <c:f>Sheet1!$A$7:$A$26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Sheet1!$I$7:$I$26</c:f>
              <c:numCache>
                <c:formatCode>General</c:formatCode>
                <c:ptCount val="20"/>
                <c:pt idx="0">
                  <c:v>18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27</c:v>
                </c:pt>
                <c:pt idx="17">
                  <c:v>28</c:v>
                </c:pt>
                <c:pt idx="18">
                  <c:v>28</c:v>
                </c:pt>
                <c:pt idx="19">
                  <c:v>29</c:v>
                </c:pt>
              </c:numCache>
            </c:numRef>
          </c:yVal>
          <c:smooth val="0"/>
        </c:ser>
        <c:ser>
          <c:idx val="3"/>
          <c:order val="3"/>
          <c:tx>
            <c:v>Avg To-hit</c:v>
          </c:tx>
          <c:xVal>
            <c:numRef>
              <c:f>Sheet1!$A$7:$A$26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Sheet1!$D$7:$D$26</c:f>
              <c:numCache>
                <c:formatCode>General</c:formatCode>
                <c:ptCount val="20"/>
                <c:pt idx="0">
                  <c:v>3.3658536585399998</c:v>
                </c:pt>
                <c:pt idx="1">
                  <c:v>4.8192771084299997</c:v>
                </c:pt>
                <c:pt idx="2">
                  <c:v>6.1450980392199996</c:v>
                </c:pt>
                <c:pt idx="3">
                  <c:v>7.1105990783399999</c:v>
                </c:pt>
                <c:pt idx="4">
                  <c:v>8.8325358851699995</c:v>
                </c:pt>
                <c:pt idx="5">
                  <c:v>10.3650793651</c:v>
                </c:pt>
                <c:pt idx="6">
                  <c:v>11.904761904800001</c:v>
                </c:pt>
                <c:pt idx="7">
                  <c:v>13.1298701299</c:v>
                </c:pt>
                <c:pt idx="8">
                  <c:v>15.176870748300001</c:v>
                </c:pt>
                <c:pt idx="9">
                  <c:v>15.834710743800001</c:v>
                </c:pt>
                <c:pt idx="10">
                  <c:v>18.095238095199999</c:v>
                </c:pt>
                <c:pt idx="11">
                  <c:v>17.848837209300001</c:v>
                </c:pt>
                <c:pt idx="12">
                  <c:v>21.2571428571</c:v>
                </c:pt>
                <c:pt idx="13">
                  <c:v>20.8965517241</c:v>
                </c:pt>
                <c:pt idx="14">
                  <c:v>21.035714285699999</c:v>
                </c:pt>
                <c:pt idx="15">
                  <c:v>24.807692307700002</c:v>
                </c:pt>
                <c:pt idx="16">
                  <c:v>25.847826087000001</c:v>
                </c:pt>
                <c:pt idx="17">
                  <c:v>27.2682926829</c:v>
                </c:pt>
                <c:pt idx="18">
                  <c:v>27.0740740741</c:v>
                </c:pt>
                <c:pt idx="19">
                  <c:v>27.65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3728"/>
        <c:axId val="86475520"/>
      </c:scatterChart>
      <c:valAx>
        <c:axId val="8647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475520"/>
        <c:crosses val="autoZero"/>
        <c:crossBetween val="midCat"/>
      </c:valAx>
      <c:valAx>
        <c:axId val="8647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4737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% Acro</c:v>
          </c:tx>
          <c:xVal>
            <c:numRef>
              <c:f>Sheet1!$A$7:$A$26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Sheet1!$H$7:$H$26</c:f>
              <c:numCache>
                <c:formatCode>General</c:formatCode>
                <c:ptCount val="20"/>
                <c:pt idx="0">
                  <c:v>1.0302469135800001</c:v>
                </c:pt>
                <c:pt idx="1">
                  <c:v>0.95143442622999996</c:v>
                </c:pt>
                <c:pt idx="2">
                  <c:v>0.87292490118499999</c:v>
                </c:pt>
                <c:pt idx="3">
                  <c:v>0.84577464788500001</c:v>
                </c:pt>
                <c:pt idx="4">
                  <c:v>0.86536585365999996</c:v>
                </c:pt>
                <c:pt idx="5">
                  <c:v>0.87884615384500009</c:v>
                </c:pt>
                <c:pt idx="6">
                  <c:v>0.79036144578500012</c:v>
                </c:pt>
                <c:pt idx="7">
                  <c:v>0.80947712418499995</c:v>
                </c:pt>
                <c:pt idx="8">
                  <c:v>0.73655172413999992</c:v>
                </c:pt>
                <c:pt idx="9">
                  <c:v>0.90454545454499991</c:v>
                </c:pt>
                <c:pt idx="10">
                  <c:v>0.81809523809499995</c:v>
                </c:pt>
                <c:pt idx="11">
                  <c:v>0.87383720929999986</c:v>
                </c:pt>
                <c:pt idx="12">
                  <c:v>0.78785714285499997</c:v>
                </c:pt>
                <c:pt idx="13">
                  <c:v>0.83416666666499995</c:v>
                </c:pt>
                <c:pt idx="14">
                  <c:v>0.71845238094999997</c:v>
                </c:pt>
                <c:pt idx="15">
                  <c:v>0.69615384615499987</c:v>
                </c:pt>
                <c:pt idx="16">
                  <c:v>0.71847826087000011</c:v>
                </c:pt>
                <c:pt idx="17">
                  <c:v>0.66707317072999994</c:v>
                </c:pt>
                <c:pt idx="18">
                  <c:v>0.52962962962999993</c:v>
                </c:pt>
                <c:pt idx="19">
                  <c:v>0.51750000000000007</c:v>
                </c:pt>
              </c:numCache>
            </c:numRef>
          </c:yVal>
          <c:smooth val="0"/>
        </c:ser>
        <c:ser>
          <c:idx val="1"/>
          <c:order val="1"/>
          <c:tx>
            <c:v>% miss</c:v>
          </c:tx>
          <c:xVal>
            <c:numRef>
              <c:f>Sheet1!$A$7:$A$26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Sheet1!$J$7:$J$26</c:f>
              <c:numCache>
                <c:formatCode>General</c:formatCode>
                <c:ptCount val="20"/>
                <c:pt idx="0">
                  <c:v>0.73170731707299996</c:v>
                </c:pt>
                <c:pt idx="1">
                  <c:v>0.65903614457850002</c:v>
                </c:pt>
                <c:pt idx="2">
                  <c:v>0.64274509803900004</c:v>
                </c:pt>
                <c:pt idx="3">
                  <c:v>0.64447004608299996</c:v>
                </c:pt>
                <c:pt idx="4">
                  <c:v>0.55837320574150007</c:v>
                </c:pt>
                <c:pt idx="5">
                  <c:v>0.53174603174500001</c:v>
                </c:pt>
                <c:pt idx="6">
                  <c:v>0.45476190475999995</c:v>
                </c:pt>
                <c:pt idx="7">
                  <c:v>0.44350649350499999</c:v>
                </c:pt>
                <c:pt idx="8">
                  <c:v>0.39115646258499998</c:v>
                </c:pt>
                <c:pt idx="9">
                  <c:v>0.35826446280999996</c:v>
                </c:pt>
                <c:pt idx="10">
                  <c:v>0.24523809524000004</c:v>
                </c:pt>
                <c:pt idx="11">
                  <c:v>0.35755813953499993</c:v>
                </c:pt>
                <c:pt idx="12">
                  <c:v>0.18714285714500001</c:v>
                </c:pt>
                <c:pt idx="13">
                  <c:v>0.20517241379500001</c:v>
                </c:pt>
                <c:pt idx="14">
                  <c:v>0.24821428571500004</c:v>
                </c:pt>
                <c:pt idx="15">
                  <c:v>0.10961538461499991</c:v>
                </c:pt>
                <c:pt idx="16">
                  <c:v>5.760869564999993E-2</c:v>
                </c:pt>
                <c:pt idx="17">
                  <c:v>0.05</c:v>
                </c:pt>
                <c:pt idx="18">
                  <c:v>0.05</c:v>
                </c:pt>
                <c:pt idx="19">
                  <c:v>6.7500000000000074E-2</c:v>
                </c:pt>
              </c:numCache>
            </c:numRef>
          </c:yVal>
          <c:smooth val="0"/>
        </c:ser>
        <c:ser>
          <c:idx val="2"/>
          <c:order val="2"/>
          <c:tx>
            <c:v>Total % avoid</c:v>
          </c:tx>
          <c:xVal>
            <c:numRef>
              <c:f>Sheet1!$A$7:$A$26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Sheet1!$K$7:$K$26</c:f>
              <c:numCache>
                <c:formatCode>General</c:formatCode>
                <c:ptCount val="20"/>
                <c:pt idx="0">
                  <c:v>1.0081150255946394</c:v>
                </c:pt>
                <c:pt idx="1">
                  <c:v>0.98344089472662355</c:v>
                </c:pt>
                <c:pt idx="2">
                  <c:v>0.95460179803116274</c:v>
                </c:pt>
                <c:pt idx="3">
                  <c:v>0.94516826766972095</c:v>
                </c:pt>
                <c:pt idx="4">
                  <c:v>0.94054195355413606</c:v>
                </c:pt>
                <c:pt idx="5">
                  <c:v>0.9432692307685655</c:v>
                </c:pt>
                <c:pt idx="6">
                  <c:v>0.88569707401094599</c:v>
                </c:pt>
                <c:pt idx="7">
                  <c:v>0.89397525677019918</c:v>
                </c:pt>
                <c:pt idx="8">
                  <c:v>0.83960121979951474</c:v>
                </c:pt>
                <c:pt idx="9">
                  <c:v>0.93874342599520821</c:v>
                </c:pt>
                <c:pt idx="10">
                  <c:v>0.86270521541966794</c:v>
                </c:pt>
                <c:pt idx="11">
                  <c:v>0.91894774202123553</c:v>
                </c:pt>
                <c:pt idx="12">
                  <c:v>0.82755816326401888</c:v>
                </c:pt>
                <c:pt idx="13">
                  <c:v>0.86819109195301269</c:v>
                </c:pt>
                <c:pt idx="14">
                  <c:v>0.78833652210725469</c:v>
                </c:pt>
                <c:pt idx="15">
                  <c:v>0.729460059172508</c:v>
                </c:pt>
                <c:pt idx="16">
                  <c:v>0.73469636105839897</c:v>
                </c:pt>
                <c:pt idx="17">
                  <c:v>0.68371951219350002</c:v>
                </c:pt>
                <c:pt idx="18">
                  <c:v>0.55314814814849989</c:v>
                </c:pt>
                <c:pt idx="19">
                  <c:v>0.55006875000000011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1872"/>
        <c:axId val="30817280"/>
      </c:scatterChart>
      <c:valAx>
        <c:axId val="3307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817280"/>
        <c:crossesAt val="1"/>
        <c:crossBetween val="midCat"/>
      </c:valAx>
      <c:valAx>
        <c:axId val="3081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718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L$4" lockText="1" noThreeD="1"/>
</file>

<file path=xl/ctrlProps/ctrlProp2.xml><?xml version="1.0" encoding="utf-8"?>
<formControlPr xmlns="http://schemas.microsoft.com/office/spreadsheetml/2009/9/main" objectType="CheckBox" fmlaLink="$L$3" lockText="1" noThreeD="1"/>
</file>

<file path=xl/ctrlProps/ctrlProp3.xml><?xml version="1.0" encoding="utf-8"?>
<formControlPr xmlns="http://schemas.microsoft.com/office/spreadsheetml/2009/9/main" objectType="CheckBox" checked="Checked" fmlaLink="$L$2" lockText="1" noThreeD="1"/>
</file>

<file path=xl/ctrlProps/ctrlProp4.xml><?xml version="1.0" encoding="utf-8"?>
<formControlPr xmlns="http://schemas.microsoft.com/office/spreadsheetml/2009/9/main" objectType="CheckBox" fmlaLink="$L$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26</xdr:row>
      <xdr:rowOff>9525</xdr:rowOff>
    </xdr:from>
    <xdr:to>
      <xdr:col>28</xdr:col>
      <xdr:colOff>228601</xdr:colOff>
      <xdr:row>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</xdr:colOff>
          <xdr:row>2</xdr:row>
          <xdr:rowOff>161925</xdr:rowOff>
        </xdr:from>
        <xdr:to>
          <xdr:col>11</xdr:col>
          <xdr:colOff>1</xdr:colOff>
          <xdr:row>4</xdr:row>
          <xdr:rowOff>38100</xdr:rowOff>
        </xdr:to>
        <xdr:sp macro="" textlink="">
          <xdr:nvSpPr>
            <xdr:cNvPr id="1026" name="Skill Focu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Skill Focus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</xdr:row>
          <xdr:rowOff>180975</xdr:rowOff>
        </xdr:from>
        <xdr:to>
          <xdr:col>10</xdr:col>
          <xdr:colOff>790575</xdr:colOff>
          <xdr:row>5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Acrobatic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109537</xdr:colOff>
      <xdr:row>5</xdr:row>
      <xdr:rowOff>147636</xdr:rowOff>
    </xdr:from>
    <xdr:to>
      <xdr:col>23</xdr:col>
      <xdr:colOff>390525</xdr:colOff>
      <xdr:row>24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10</xdr:col>
          <xdr:colOff>790575</xdr:colOff>
          <xdr:row>3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Level bonus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180975</xdr:rowOff>
        </xdr:from>
        <xdr:to>
          <xdr:col>10</xdr:col>
          <xdr:colOff>790575</xdr:colOff>
          <xdr:row>2</xdr:row>
          <xdr:rowOff>19050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1/2 lvl bonus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6"/>
  <sheetViews>
    <sheetView tabSelected="1" workbookViewId="0">
      <selection activeCell="K4" sqref="K4"/>
    </sheetView>
  </sheetViews>
  <sheetFormatPr defaultRowHeight="15" x14ac:dyDescent="0.25"/>
  <cols>
    <col min="6" max="6" width="5.5703125" customWidth="1"/>
    <col min="7" max="7" width="9.140625" customWidth="1"/>
    <col min="8" max="8" width="8.7109375" bestFit="1" customWidth="1"/>
    <col min="10" max="10" width="9.42578125" bestFit="1" customWidth="1"/>
    <col min="11" max="11" width="12.5703125" customWidth="1"/>
  </cols>
  <sheetData>
    <row r="1" spans="1:14" x14ac:dyDescent="0.25">
      <c r="A1" t="s">
        <v>8</v>
      </c>
      <c r="B1" t="s">
        <v>9</v>
      </c>
      <c r="C1" t="s">
        <v>10</v>
      </c>
      <c r="D1" t="s">
        <v>15</v>
      </c>
      <c r="E1" t="s">
        <v>10</v>
      </c>
    </row>
    <row r="2" spans="1:14" x14ac:dyDescent="0.25">
      <c r="A2" s="1" t="s">
        <v>4</v>
      </c>
      <c r="B2">
        <v>3.7777777777799999</v>
      </c>
      <c r="C2">
        <v>1.54759869746</v>
      </c>
      <c r="D2">
        <v>5.1666666666700003</v>
      </c>
      <c r="E2">
        <v>3.5316033500700001</v>
      </c>
      <c r="L2" t="b">
        <v>1</v>
      </c>
    </row>
    <row r="3" spans="1:14" x14ac:dyDescent="0.25">
      <c r="A3" s="1" t="s">
        <v>3</v>
      </c>
      <c r="B3">
        <v>6.0833333333299997</v>
      </c>
      <c r="C3">
        <v>1.9346977943699999</v>
      </c>
      <c r="D3">
        <v>2</v>
      </c>
      <c r="E3">
        <v>3.0276503540999999</v>
      </c>
      <c r="G3" t="s">
        <v>6</v>
      </c>
      <c r="H3" t="s">
        <v>16</v>
      </c>
      <c r="I3" t="s">
        <v>5</v>
      </c>
      <c r="J3" t="s">
        <v>7</v>
      </c>
      <c r="L3" t="b">
        <v>0</v>
      </c>
      <c r="M3" t="s">
        <v>18</v>
      </c>
      <c r="N3" s="3" t="s">
        <v>19</v>
      </c>
    </row>
    <row r="4" spans="1:14" x14ac:dyDescent="0.25">
      <c r="A4" s="1" t="s">
        <v>2</v>
      </c>
      <c r="B4">
        <v>7.9090909090899997</v>
      </c>
      <c r="C4">
        <v>2.7120788891199998</v>
      </c>
      <c r="D4">
        <v>2.65625</v>
      </c>
      <c r="E4">
        <v>2.1594179626700001</v>
      </c>
      <c r="G4" s="2">
        <v>4</v>
      </c>
      <c r="H4" s="2">
        <v>4</v>
      </c>
      <c r="I4" s="2">
        <v>0</v>
      </c>
      <c r="J4" s="2">
        <v>2</v>
      </c>
      <c r="L4" t="b">
        <v>1</v>
      </c>
      <c r="M4" s="2"/>
      <c r="N4" s="2">
        <v>3</v>
      </c>
    </row>
    <row r="5" spans="1:14" x14ac:dyDescent="0.25">
      <c r="A5" s="1" t="s">
        <v>1</v>
      </c>
      <c r="B5">
        <v>10.083333333300001</v>
      </c>
      <c r="C5">
        <v>3.5872072083400002</v>
      </c>
      <c r="D5">
        <v>2.2083333333300001</v>
      </c>
      <c r="E5">
        <v>1.88147031748</v>
      </c>
      <c r="L5" t="b">
        <v>0</v>
      </c>
    </row>
    <row r="6" spans="1:14" x14ac:dyDescent="0.25">
      <c r="A6" s="1" t="s">
        <v>0</v>
      </c>
      <c r="B6">
        <v>11.452173912999999</v>
      </c>
      <c r="C6">
        <v>3.16294710745</v>
      </c>
      <c r="D6">
        <v>2.4347826087</v>
      </c>
      <c r="E6">
        <v>1.77974318999</v>
      </c>
      <c r="G6" t="s">
        <v>11</v>
      </c>
      <c r="H6" t="s">
        <v>14</v>
      </c>
      <c r="I6" t="s">
        <v>12</v>
      </c>
      <c r="J6" t="s">
        <v>17</v>
      </c>
      <c r="K6" t="s">
        <v>13</v>
      </c>
    </row>
    <row r="7" spans="1:14" x14ac:dyDescent="0.25">
      <c r="A7">
        <v>1</v>
      </c>
      <c r="B7">
        <v>12.3950617284</v>
      </c>
      <c r="C7">
        <v>2.77412654409</v>
      </c>
      <c r="D7">
        <v>3.3658536585399998</v>
      </c>
      <c r="E7">
        <v>1.87416449757</v>
      </c>
      <c r="G7">
        <f>$G$4+A7*1+3+$J$4+IF($L$4,3,0)+IF($L$5,2,0)</f>
        <v>13</v>
      </c>
      <c r="H7">
        <f ca="1">(1-(OFFSET(B7,$I$4,0)-G7)/20)</f>
        <v>1.0302469135800001</v>
      </c>
      <c r="I7">
        <f>10+$G$4+$H$4+INT(A7/4)+INT(A7/$N$4)+$M$4</f>
        <v>18</v>
      </c>
      <c r="J7">
        <f ca="1">MAX(0.05,MIN((I7-OFFSET(D7,$I$4,0))/20,0.95))</f>
        <v>0.73170731707299996</v>
      </c>
      <c r="K7">
        <f ca="1">1-(1-H7)*(1-J7)</f>
        <v>1.0081150255946394</v>
      </c>
    </row>
    <row r="8" spans="1:14" x14ac:dyDescent="0.25">
      <c r="A8">
        <v>2</v>
      </c>
      <c r="B8">
        <v>14.9713114754</v>
      </c>
      <c r="C8">
        <v>2.8778401369400002</v>
      </c>
      <c r="D8">
        <v>4.8192771084299997</v>
      </c>
      <c r="E8">
        <v>1.84637653385</v>
      </c>
      <c r="G8">
        <f>$G$4+A8*1+3+$J$4+IF($L$4,3,0)+IF($L$5,2,0)</f>
        <v>14</v>
      </c>
      <c r="H8">
        <f t="shared" ref="H8:H26" ca="1" si="0">(1-(OFFSET(B8,$I$4,0)-G8)/20)</f>
        <v>0.95143442622999996</v>
      </c>
      <c r="I8">
        <f t="shared" ref="I8:I26" si="1">10+$G$4+$H$4+INT(A8/4)+INT(A8/$N$4)+$M$4</f>
        <v>18</v>
      </c>
      <c r="J8">
        <f t="shared" ref="J8:J26" ca="1" si="2">MAX(0.05,MIN((I8-OFFSET(D8,$I$4,0))/20,0.95))</f>
        <v>0.65903614457850002</v>
      </c>
      <c r="K8">
        <f t="shared" ref="K8:K26" ca="1" si="3">1-(1-H8)*(1-J8)</f>
        <v>0.98344089472662355</v>
      </c>
    </row>
    <row r="9" spans="1:14" x14ac:dyDescent="0.25">
      <c r="A9">
        <v>3</v>
      </c>
      <c r="B9">
        <v>17.541501976300001</v>
      </c>
      <c r="C9">
        <v>3.1552793010100002</v>
      </c>
      <c r="D9">
        <v>6.1450980392199996</v>
      </c>
      <c r="E9">
        <v>1.79064165578</v>
      </c>
      <c r="G9">
        <f>$G$4+A9*1+3+$J$4+IF($L$4,3,0)+IF($L$5,2,0)</f>
        <v>15</v>
      </c>
      <c r="H9">
        <f t="shared" ca="1" si="0"/>
        <v>0.87292490118499999</v>
      </c>
      <c r="I9">
        <f t="shared" si="1"/>
        <v>19</v>
      </c>
      <c r="J9">
        <f t="shared" ca="1" si="2"/>
        <v>0.64274509803900004</v>
      </c>
      <c r="K9">
        <f t="shared" ca="1" si="3"/>
        <v>0.95460179803116274</v>
      </c>
    </row>
    <row r="10" spans="1:14" x14ac:dyDescent="0.25">
      <c r="A10">
        <v>4</v>
      </c>
      <c r="B10">
        <v>19.0845070423</v>
      </c>
      <c r="C10">
        <v>3.2403550443300002</v>
      </c>
      <c r="D10">
        <v>7.1105990783399999</v>
      </c>
      <c r="E10">
        <v>2.2589765862300002</v>
      </c>
      <c r="G10">
        <f>$G$4+A10*1+3+$J$4+IF($L$4,3,0)+IF($L$5,2,0)</f>
        <v>16</v>
      </c>
      <c r="H10">
        <f t="shared" ca="1" si="0"/>
        <v>0.84577464788500001</v>
      </c>
      <c r="I10">
        <f t="shared" si="1"/>
        <v>20</v>
      </c>
      <c r="J10">
        <f t="shared" ca="1" si="2"/>
        <v>0.64447004608299996</v>
      </c>
      <c r="K10">
        <f t="shared" ca="1" si="3"/>
        <v>0.94516826766972095</v>
      </c>
    </row>
    <row r="11" spans="1:14" x14ac:dyDescent="0.25">
      <c r="A11">
        <v>5</v>
      </c>
      <c r="B11">
        <v>21.6926829268</v>
      </c>
      <c r="C11">
        <v>3.1758532745400001</v>
      </c>
      <c r="D11">
        <v>8.8325358851699995</v>
      </c>
      <c r="E11">
        <v>2.6853659378199999</v>
      </c>
      <c r="G11">
        <f>$G$4+A11+IF($L$3,A11,0)+IF($L$2,INT(A11/2),0)+3+$J$4+IF($L$4,3,0)+IF($L$5,2,0)</f>
        <v>19</v>
      </c>
      <c r="H11">
        <f t="shared" ca="1" si="0"/>
        <v>0.86536585365999996</v>
      </c>
      <c r="I11">
        <f t="shared" si="1"/>
        <v>20</v>
      </c>
      <c r="J11">
        <f t="shared" ca="1" si="2"/>
        <v>0.55837320574150007</v>
      </c>
      <c r="K11">
        <f t="shared" ca="1" si="3"/>
        <v>0.94054195355413606</v>
      </c>
    </row>
    <row r="12" spans="1:14" x14ac:dyDescent="0.25">
      <c r="A12">
        <v>6</v>
      </c>
      <c r="B12">
        <v>23.423076923099998</v>
      </c>
      <c r="C12">
        <v>3.6058736248600001</v>
      </c>
      <c r="D12">
        <v>10.3650793651</v>
      </c>
      <c r="E12">
        <v>3.1419751848900002</v>
      </c>
      <c r="G12">
        <f>$G$4+A12+IF($L$3,A12,0)+IF($L$2,INT(A12/2),0)+3+$J$4+IF($L$4,3,0)+IF($L$5,2,0)</f>
        <v>21</v>
      </c>
      <c r="H12">
        <f t="shared" ca="1" si="0"/>
        <v>0.87884615384500009</v>
      </c>
      <c r="I12">
        <f t="shared" si="1"/>
        <v>21</v>
      </c>
      <c r="J12">
        <f t="shared" ca="1" si="2"/>
        <v>0.53174603174500001</v>
      </c>
      <c r="K12">
        <f t="shared" ca="1" si="3"/>
        <v>0.9432692307685655</v>
      </c>
    </row>
    <row r="13" spans="1:14" x14ac:dyDescent="0.25">
      <c r="A13">
        <v>7</v>
      </c>
      <c r="B13">
        <v>26.192771084299999</v>
      </c>
      <c r="C13">
        <v>3.9330475976599999</v>
      </c>
      <c r="D13">
        <v>11.904761904800001</v>
      </c>
      <c r="E13">
        <v>3.7847408152400002</v>
      </c>
      <c r="G13">
        <f>$G$4+A13+IF($L$3,A13,0)+IF($L$2,INT(A13/2),0)+3+$J$4+IF($L$4,3,0)+IF($L$5,2,0)</f>
        <v>22</v>
      </c>
      <c r="H13">
        <f t="shared" ca="1" si="0"/>
        <v>0.79036144578500012</v>
      </c>
      <c r="I13">
        <f t="shared" si="1"/>
        <v>21</v>
      </c>
      <c r="J13">
        <f t="shared" ca="1" si="2"/>
        <v>0.45476190475999995</v>
      </c>
      <c r="K13">
        <f t="shared" ca="1" si="3"/>
        <v>0.88569707401094599</v>
      </c>
    </row>
    <row r="14" spans="1:14" x14ac:dyDescent="0.25">
      <c r="A14">
        <v>8</v>
      </c>
      <c r="B14">
        <v>27.810457516300001</v>
      </c>
      <c r="C14">
        <v>3.7166849273899998</v>
      </c>
      <c r="D14">
        <v>13.1298701299</v>
      </c>
      <c r="E14">
        <v>4.2345230779199996</v>
      </c>
      <c r="G14">
        <f>$G$4+A14+IF($L$3,A14,0)+IF($L$2,INT(A14/2),0)+3+$J$4+IF($L$4,3,0)+IF($L$5,2,0)</f>
        <v>24</v>
      </c>
      <c r="H14">
        <f t="shared" ca="1" si="0"/>
        <v>0.80947712418499995</v>
      </c>
      <c r="I14">
        <f t="shared" si="1"/>
        <v>22</v>
      </c>
      <c r="J14">
        <f t="shared" ca="1" si="2"/>
        <v>0.44350649350499999</v>
      </c>
      <c r="K14">
        <f t="shared" ca="1" si="3"/>
        <v>0.89397525677019918</v>
      </c>
    </row>
    <row r="15" spans="1:14" x14ac:dyDescent="0.25">
      <c r="A15">
        <v>9</v>
      </c>
      <c r="B15">
        <v>30.268965517200002</v>
      </c>
      <c r="C15">
        <v>4.7882833615499996</v>
      </c>
      <c r="D15">
        <v>15.176870748300001</v>
      </c>
      <c r="E15">
        <v>4.0468358014300003</v>
      </c>
      <c r="G15">
        <f>$G$4+A15+IF($L$3,A15,0)+IF($L$2,INT(A15/2),0)+3+$J$4+IF($L$4,3,0)+IF($L$5,2,0)</f>
        <v>25</v>
      </c>
      <c r="H15">
        <f t="shared" ca="1" si="0"/>
        <v>0.73655172413999992</v>
      </c>
      <c r="I15">
        <f t="shared" si="1"/>
        <v>23</v>
      </c>
      <c r="J15">
        <f t="shared" ca="1" si="2"/>
        <v>0.39115646258499998</v>
      </c>
      <c r="K15">
        <f t="shared" ca="1" si="3"/>
        <v>0.83960121979951474</v>
      </c>
    </row>
    <row r="16" spans="1:14" x14ac:dyDescent="0.25">
      <c r="A16">
        <v>10</v>
      </c>
      <c r="B16">
        <v>31.909090909100001</v>
      </c>
      <c r="C16">
        <v>3.7106057512700001</v>
      </c>
      <c r="D16">
        <v>15.834710743800001</v>
      </c>
      <c r="E16">
        <v>5.5660528136699998</v>
      </c>
      <c r="G16">
        <f>$G$4+A16+IF($L$3,A16,0)+IF($L$2,INT(A16/2),0)+3+$J$4+IF($L$4,6,0)+IF($L$5,4,0)</f>
        <v>30</v>
      </c>
      <c r="H16">
        <f t="shared" ca="1" si="0"/>
        <v>0.90454545454499991</v>
      </c>
      <c r="I16">
        <f t="shared" si="1"/>
        <v>23</v>
      </c>
      <c r="J16">
        <f t="shared" ca="1" si="2"/>
        <v>0.35826446280999996</v>
      </c>
      <c r="K16">
        <f t="shared" ca="1" si="3"/>
        <v>0.93874342599520821</v>
      </c>
    </row>
    <row r="17" spans="1:11" x14ac:dyDescent="0.25">
      <c r="A17">
        <v>11</v>
      </c>
      <c r="B17">
        <v>34.6380952381</v>
      </c>
      <c r="C17">
        <v>5.1383225158299997</v>
      </c>
      <c r="D17">
        <v>18.095238095199999</v>
      </c>
      <c r="E17">
        <v>5.9578260808800003</v>
      </c>
      <c r="G17">
        <f>$G$4+A17+IF($L$3,A17,0)+IF($L$2,INT(A17/2),0)+3+$J$4+IF($L$4,6,0)+IF($L$5,4,0)</f>
        <v>31</v>
      </c>
      <c r="H17">
        <f t="shared" ca="1" si="0"/>
        <v>0.81809523809499995</v>
      </c>
      <c r="I17">
        <f t="shared" si="1"/>
        <v>23</v>
      </c>
      <c r="J17">
        <f t="shared" ca="1" si="2"/>
        <v>0.24523809524000004</v>
      </c>
      <c r="K17">
        <f t="shared" ca="1" si="3"/>
        <v>0.86270521541966794</v>
      </c>
    </row>
    <row r="18" spans="1:11" x14ac:dyDescent="0.25">
      <c r="A18">
        <v>12</v>
      </c>
      <c r="B18">
        <v>35.523255814000002</v>
      </c>
      <c r="C18">
        <v>4.8338119778199999</v>
      </c>
      <c r="D18">
        <v>17.848837209300001</v>
      </c>
      <c r="E18">
        <v>7.1178083931999998</v>
      </c>
      <c r="G18">
        <f>$G$4+A18+IF($L$3,A18,0)+IF($L$2,INT(A18/2),0)+3+$J$4+IF($L$4,6,0)+IF($L$5,4,0)</f>
        <v>33</v>
      </c>
      <c r="H18">
        <f t="shared" ca="1" si="0"/>
        <v>0.87383720929999986</v>
      </c>
      <c r="I18">
        <f t="shared" si="1"/>
        <v>25</v>
      </c>
      <c r="J18">
        <f t="shared" ca="1" si="2"/>
        <v>0.35755813953499993</v>
      </c>
      <c r="K18">
        <f t="shared" ca="1" si="3"/>
        <v>0.91894774202123553</v>
      </c>
    </row>
    <row r="19" spans="1:11" x14ac:dyDescent="0.25">
      <c r="A19">
        <v>13</v>
      </c>
      <c r="B19">
        <v>38.2428571429</v>
      </c>
      <c r="C19">
        <v>7.0941338226599999</v>
      </c>
      <c r="D19">
        <v>21.2571428571</v>
      </c>
      <c r="E19">
        <v>7.8279457518499997</v>
      </c>
      <c r="G19">
        <f>$G$4+A19+IF($L$3,A19,0)+IF($L$2,INT(A19/2),0)+3+$J$4+IF($L$4,6,0)+IF($L$5,4,0)</f>
        <v>34</v>
      </c>
      <c r="H19">
        <f t="shared" ca="1" si="0"/>
        <v>0.78785714285499997</v>
      </c>
      <c r="I19">
        <f t="shared" si="1"/>
        <v>25</v>
      </c>
      <c r="J19">
        <f t="shared" ca="1" si="2"/>
        <v>0.18714285714500001</v>
      </c>
      <c r="K19">
        <f t="shared" ca="1" si="3"/>
        <v>0.82755816326401888</v>
      </c>
    </row>
    <row r="20" spans="1:11" x14ac:dyDescent="0.25">
      <c r="A20">
        <v>14</v>
      </c>
      <c r="B20">
        <v>39.316666666700002</v>
      </c>
      <c r="C20">
        <v>4.4365589768999998</v>
      </c>
      <c r="D20">
        <v>20.8965517241</v>
      </c>
      <c r="E20">
        <v>7.8886423270800003</v>
      </c>
      <c r="G20">
        <f>$G$4+A20+IF($L$3,A20,0)+IF($L$2,INT(A20/2),0)+3+$J$4+IF($L$4,6,0)+IF($L$5,4,0)</f>
        <v>36</v>
      </c>
      <c r="H20">
        <f t="shared" ca="1" si="0"/>
        <v>0.83416666666499995</v>
      </c>
      <c r="I20">
        <f t="shared" si="1"/>
        <v>25</v>
      </c>
      <c r="J20">
        <f t="shared" ca="1" si="2"/>
        <v>0.20517241379500001</v>
      </c>
      <c r="K20">
        <f t="shared" ca="1" si="3"/>
        <v>0.86819109195301269</v>
      </c>
    </row>
    <row r="21" spans="1:11" x14ac:dyDescent="0.25">
      <c r="A21">
        <v>15</v>
      </c>
      <c r="B21">
        <v>42.630952381</v>
      </c>
      <c r="C21">
        <v>5.8590177990100001</v>
      </c>
      <c r="D21">
        <v>21.035714285699999</v>
      </c>
      <c r="E21">
        <v>9.4358062069699997</v>
      </c>
      <c r="G21">
        <f>$G$4+A21+IF($L$3,A21,0)+IF($L$2,INT(A21/2),0)+3+$J$4+IF($L$4,6,0)+IF($L$5,4,0)</f>
        <v>37</v>
      </c>
      <c r="H21">
        <f t="shared" ca="1" si="0"/>
        <v>0.71845238094999997</v>
      </c>
      <c r="I21">
        <f t="shared" si="1"/>
        <v>26</v>
      </c>
      <c r="J21">
        <f t="shared" ca="1" si="2"/>
        <v>0.24821428571500004</v>
      </c>
      <c r="K21">
        <f t="shared" ca="1" si="3"/>
        <v>0.78833652210725469</v>
      </c>
    </row>
    <row r="22" spans="1:11" x14ac:dyDescent="0.25">
      <c r="A22">
        <v>16</v>
      </c>
      <c r="B22">
        <v>45.076923076900002</v>
      </c>
      <c r="C22">
        <v>5.3810427708599997</v>
      </c>
      <c r="D22">
        <v>24.807692307700002</v>
      </c>
      <c r="E22">
        <v>9.3583333113799991</v>
      </c>
      <c r="G22">
        <f>$G$4+A22+IF($L$3,A22,0)+IF($L$2,INT(A22/2),0)+3+$J$4+IF($L$4,6,0)+IF($L$5,4,0)</f>
        <v>39</v>
      </c>
      <c r="H22">
        <f t="shared" ca="1" si="0"/>
        <v>0.69615384615499987</v>
      </c>
      <c r="I22">
        <f t="shared" si="1"/>
        <v>27</v>
      </c>
      <c r="J22">
        <f t="shared" ca="1" si="2"/>
        <v>0.10961538461499991</v>
      </c>
      <c r="K22">
        <f t="shared" ca="1" si="3"/>
        <v>0.729460059172508</v>
      </c>
    </row>
    <row r="23" spans="1:11" x14ac:dyDescent="0.25">
      <c r="A23">
        <v>17</v>
      </c>
      <c r="B23">
        <v>45.630434782599998</v>
      </c>
      <c r="C23">
        <v>7.1120189014399999</v>
      </c>
      <c r="D23">
        <v>25.847826087000001</v>
      </c>
      <c r="E23">
        <v>8.5743991836800006</v>
      </c>
      <c r="G23">
        <f>$G$4+A23+IF($L$3,A23,0)+IF($L$2,INT(A23/2),0)+3+$J$4+IF($L$4,6,0)+IF($L$5,4,0)</f>
        <v>40</v>
      </c>
      <c r="H23">
        <f t="shared" ca="1" si="0"/>
        <v>0.71847826087000011</v>
      </c>
      <c r="I23">
        <f t="shared" si="1"/>
        <v>27</v>
      </c>
      <c r="J23">
        <f t="shared" ca="1" si="2"/>
        <v>5.760869564999993E-2</v>
      </c>
      <c r="K23">
        <f t="shared" ca="1" si="3"/>
        <v>0.73469636105839897</v>
      </c>
    </row>
    <row r="24" spans="1:11" x14ac:dyDescent="0.25">
      <c r="A24">
        <v>18</v>
      </c>
      <c r="B24">
        <v>48.6585365854</v>
      </c>
      <c r="C24">
        <v>5.0442420982999998</v>
      </c>
      <c r="D24">
        <v>27.2682926829</v>
      </c>
      <c r="E24">
        <v>9.9658548523799997</v>
      </c>
      <c r="G24">
        <f>$G$4+A24+IF($L$3,A24,0)+IF($L$2,INT(A24/2),0)+3+$J$4+IF($L$4,6,0)+IF($L$5,4,0)</f>
        <v>42</v>
      </c>
      <c r="H24">
        <f t="shared" ca="1" si="0"/>
        <v>0.66707317072999994</v>
      </c>
      <c r="I24">
        <f t="shared" si="1"/>
        <v>28</v>
      </c>
      <c r="J24">
        <f t="shared" ca="1" si="2"/>
        <v>0.05</v>
      </c>
      <c r="K24">
        <f t="shared" ca="1" si="3"/>
        <v>0.68371951219350002</v>
      </c>
    </row>
    <row r="25" spans="1:11" x14ac:dyDescent="0.25">
      <c r="A25">
        <v>19</v>
      </c>
      <c r="B25">
        <v>52.407407407400001</v>
      </c>
      <c r="C25">
        <v>5.2863153817699997</v>
      </c>
      <c r="D25">
        <v>27.0740740741</v>
      </c>
      <c r="E25">
        <v>12.4690013439</v>
      </c>
      <c r="G25">
        <f>$G$4+A25+IF($L$3,A25,0)+IF($L$2,INT(A25/2),0)+3+$J$4+IF($L$4,6,0)+IF($L$5,4,0)</f>
        <v>43</v>
      </c>
      <c r="H25">
        <f t="shared" ca="1" si="0"/>
        <v>0.52962962962999993</v>
      </c>
      <c r="I25">
        <f t="shared" si="1"/>
        <v>28</v>
      </c>
      <c r="J25">
        <f t="shared" ca="1" si="2"/>
        <v>0.05</v>
      </c>
      <c r="K25">
        <f t="shared" ca="1" si="3"/>
        <v>0.55314814814849989</v>
      </c>
    </row>
    <row r="26" spans="1:11" x14ac:dyDescent="0.25">
      <c r="A26">
        <v>20</v>
      </c>
      <c r="B26">
        <v>54.65</v>
      </c>
      <c r="C26">
        <v>4.7620898773500002</v>
      </c>
      <c r="D26">
        <v>27.65</v>
      </c>
      <c r="E26">
        <v>12.6719177712</v>
      </c>
      <c r="G26">
        <f>$G$4+A26+IF($L$3,A26,0)+IF($L$2,INT(A26/2),0)+3+$J$4+IF($L$4,6,0)+IF($L$5,4,0)</f>
        <v>45</v>
      </c>
      <c r="H26">
        <f t="shared" ca="1" si="0"/>
        <v>0.51750000000000007</v>
      </c>
      <c r="I26">
        <f t="shared" si="1"/>
        <v>29</v>
      </c>
      <c r="J26">
        <f t="shared" ca="1" si="2"/>
        <v>6.7500000000000074E-2</v>
      </c>
      <c r="K26">
        <f t="shared" ca="1" si="3"/>
        <v>0.55006875000000011</v>
      </c>
    </row>
    <row r="27" spans="1:11" x14ac:dyDescent="0.25">
      <c r="A27">
        <v>21</v>
      </c>
      <c r="B27">
        <v>58.857142857100001</v>
      </c>
      <c r="C27">
        <v>6.3116348669600004</v>
      </c>
      <c r="D27">
        <v>23.214285714300001</v>
      </c>
      <c r="E27">
        <v>15.5709370827</v>
      </c>
    </row>
    <row r="28" spans="1:11" x14ac:dyDescent="0.25">
      <c r="A28">
        <v>22</v>
      </c>
      <c r="B28">
        <v>59.5</v>
      </c>
      <c r="C28">
        <v>6.9641941385899999</v>
      </c>
      <c r="D28">
        <v>25.1875</v>
      </c>
      <c r="E28">
        <v>15.2242354077</v>
      </c>
    </row>
    <row r="29" spans="1:11" x14ac:dyDescent="0.25">
      <c r="A29">
        <v>23</v>
      </c>
      <c r="B29">
        <v>63.666666666700003</v>
      </c>
      <c r="C29">
        <v>10.7496769977</v>
      </c>
      <c r="D29">
        <v>28.333333333300001</v>
      </c>
      <c r="E29">
        <v>19.081113408</v>
      </c>
    </row>
    <row r="30" spans="1:11" x14ac:dyDescent="0.25">
      <c r="A30">
        <v>24</v>
      </c>
      <c r="B30">
        <v>63.857142857100001</v>
      </c>
      <c r="C30">
        <v>8.7738014473099994</v>
      </c>
      <c r="D30">
        <v>25.428571428600002</v>
      </c>
      <c r="E30">
        <v>19.913076413399999</v>
      </c>
    </row>
    <row r="31" spans="1:11" x14ac:dyDescent="0.25">
      <c r="A31">
        <v>25</v>
      </c>
      <c r="B31">
        <v>67.090909090899999</v>
      </c>
      <c r="C31">
        <v>8.8979522205400006</v>
      </c>
      <c r="D31">
        <v>26.090909090899999</v>
      </c>
      <c r="E31">
        <v>17.839968128100001</v>
      </c>
    </row>
    <row r="32" spans="1:11" x14ac:dyDescent="0.25">
      <c r="A32">
        <v>26</v>
      </c>
      <c r="B32">
        <v>79.2</v>
      </c>
      <c r="C32">
        <v>5.3441556863499997</v>
      </c>
      <c r="D32">
        <v>16.8</v>
      </c>
      <c r="E32">
        <v>15.535765188799999</v>
      </c>
    </row>
    <row r="33" spans="1:5" x14ac:dyDescent="0.25">
      <c r="A33">
        <v>27</v>
      </c>
      <c r="B33">
        <v>75.142857142899999</v>
      </c>
      <c r="C33">
        <v>10.204040816199999</v>
      </c>
      <c r="D33">
        <v>35.142857142899999</v>
      </c>
      <c r="E33">
        <v>20.4410551267</v>
      </c>
    </row>
    <row r="34" spans="1:5" x14ac:dyDescent="0.25">
      <c r="A34">
        <v>28</v>
      </c>
      <c r="B34">
        <v>81.333333333300004</v>
      </c>
      <c r="C34">
        <v>7.7602978178799997</v>
      </c>
      <c r="D34">
        <v>26.5</v>
      </c>
      <c r="E34">
        <v>21.530985424099999</v>
      </c>
    </row>
    <row r="35" spans="1:5" x14ac:dyDescent="0.25">
      <c r="A35">
        <v>29</v>
      </c>
      <c r="B35">
        <v>82</v>
      </c>
      <c r="C35">
        <v>7.7201036262500002</v>
      </c>
      <c r="D35">
        <v>39.6</v>
      </c>
      <c r="E35">
        <v>17.7718879132</v>
      </c>
    </row>
    <row r="36" spans="1:5" x14ac:dyDescent="0.25">
      <c r="A36">
        <v>30</v>
      </c>
      <c r="B36">
        <v>82.75</v>
      </c>
      <c r="C36">
        <v>10.413332799799999</v>
      </c>
      <c r="D36">
        <v>36.625</v>
      </c>
      <c r="E36">
        <v>18.438665217400001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kill Focus">
              <controlPr defaultSize="0" autoFill="0" autoLine="0" autoPict="0" altText="Skill Focus">
                <anchor moveWithCells="1">
                  <from>
                    <xdr:col>10</xdr:col>
                    <xdr:colOff>0</xdr:colOff>
                    <xdr:row>2</xdr:row>
                    <xdr:rowOff>161925</xdr:rowOff>
                  </from>
                  <to>
                    <xdr:col>11</xdr:col>
                    <xdr:colOff>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10</xdr:col>
                    <xdr:colOff>790575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10</xdr:col>
                    <xdr:colOff>9525</xdr:colOff>
                    <xdr:row>0</xdr:row>
                    <xdr:rowOff>180975</xdr:rowOff>
                  </from>
                  <to>
                    <xdr:col>10</xdr:col>
                    <xdr:colOff>790575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>
                <anchor moveWithCells="1">
                  <from>
                    <xdr:col>10</xdr:col>
                    <xdr:colOff>9525</xdr:colOff>
                    <xdr:row>3</xdr:row>
                    <xdr:rowOff>180975</xdr:rowOff>
                  </from>
                  <to>
                    <xdr:col>10</xdr:col>
                    <xdr:colOff>790575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Vilbrandt</dc:creator>
  <cp:lastModifiedBy>Ryan Vilbrandt</cp:lastModifiedBy>
  <dcterms:created xsi:type="dcterms:W3CDTF">2014-03-01T00:13:28Z</dcterms:created>
  <dcterms:modified xsi:type="dcterms:W3CDTF">2014-03-19T22:47:59Z</dcterms:modified>
</cp:coreProperties>
</file>